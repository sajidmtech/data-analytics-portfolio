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jid\Downloads\"/>
    </mc:Choice>
  </mc:AlternateContent>
  <xr:revisionPtr revIDLastSave="0" documentId="8_{EA2866BC-FB74-4D92-A4CF-DB7D990A962B}" xr6:coauthVersionLast="47" xr6:coauthVersionMax="47" xr10:uidLastSave="{00000000-0000-0000-0000-000000000000}"/>
  <bookViews>
    <workbookView xWindow="3360" yWindow="2490" windowWidth="21600" windowHeight="11295" firstSheet="1" activeTab="1" xr2:uid="{00000000-000D-0000-FFFF-FFFF00000000}"/>
  </bookViews>
  <sheets>
    <sheet name="Sheet1" sheetId="3" r:id="rId1"/>
    <sheet name="employees" sheetId="1" r:id="rId2"/>
    <sheet name="employment_details" sheetId="4" r:id="rId3"/>
    <sheet name="attrition" sheetId="5" r:id="rId4"/>
  </sheets>
  <definedNames>
    <definedName name="_xlnm._FilterDatabase" localSheetId="1" hidden="1">employees!$A$1:$F$16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G3" i="5"/>
  <c r="J2" i="1"/>
  <c r="E3" i="5"/>
  <c r="E2" i="5"/>
  <c r="G2" i="5" s="1"/>
  <c r="E5" i="5"/>
  <c r="G5" i="5" s="1"/>
  <c r="E6" i="5"/>
  <c r="G6" i="5" s="1"/>
  <c r="G2" i="4"/>
  <c r="G3" i="4"/>
  <c r="H3" i="4" s="1"/>
  <c r="H2" i="4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I3" i="1"/>
  <c r="I4" i="1"/>
  <c r="I5" i="1"/>
  <c r="I6" i="1"/>
  <c r="I2" i="1"/>
</calcChain>
</file>

<file path=xl/sharedStrings.xml><?xml version="1.0" encoding="utf-8"?>
<sst xmlns="http://schemas.openxmlformats.org/spreadsheetml/2006/main" count="120" uniqueCount="62">
  <si>
    <t>employee_id</t>
  </si>
  <si>
    <t>name</t>
  </si>
  <si>
    <t>department</t>
  </si>
  <si>
    <t>job_title</t>
  </si>
  <si>
    <t>salary</t>
  </si>
  <si>
    <t>status</t>
  </si>
  <si>
    <t>Ayesha Khan</t>
  </si>
  <si>
    <t>Engineering</t>
  </si>
  <si>
    <t>Software Engineer</t>
  </si>
  <si>
    <t>Active</t>
  </si>
  <si>
    <t>Rahul Mehta</t>
  </si>
  <si>
    <t>Senior Engineer</t>
  </si>
  <si>
    <t>Priya Sharma</t>
  </si>
  <si>
    <t>HR</t>
  </si>
  <si>
    <t>HR Manager</t>
  </si>
  <si>
    <t>James Okafor</t>
  </si>
  <si>
    <t>Sales</t>
  </si>
  <si>
    <t>Sales Executive</t>
  </si>
  <si>
    <t>Linda Torres</t>
  </si>
  <si>
    <t>Marketing</t>
  </si>
  <si>
    <t>Marketing Lead</t>
  </si>
  <si>
    <t>Vikram Nair</t>
  </si>
  <si>
    <t>Junior Engineer</t>
  </si>
  <si>
    <t>Sophie Chen</t>
  </si>
  <si>
    <t>Finance</t>
  </si>
  <si>
    <t>Financial Analyst</t>
  </si>
  <si>
    <t>Ananya Das</t>
  </si>
  <si>
    <t>HR Coordinator</t>
  </si>
  <si>
    <t>Carlos Rivera</t>
  </si>
  <si>
    <t>Sales Manager</t>
  </si>
  <si>
    <t>Emily Clark</t>
  </si>
  <si>
    <t>Content Strategist</t>
  </si>
  <si>
    <t>Arjun Patel</t>
  </si>
  <si>
    <t>Senior Analyst</t>
  </si>
  <si>
    <t>Neha Gupta</t>
  </si>
  <si>
    <t>QA Engineer</t>
  </si>
  <si>
    <t>Daniel Kim</t>
  </si>
  <si>
    <t>Inactive</t>
  </si>
  <si>
    <t>Fatima Al-Sayed</t>
  </si>
  <si>
    <t>Digital Marketer</t>
  </si>
  <si>
    <t>Tom Bennett</t>
  </si>
  <si>
    <t>Recruiter</t>
  </si>
  <si>
    <t>Department</t>
  </si>
  <si>
    <t>Avg Salary</t>
  </si>
  <si>
    <t>HeadCount</t>
  </si>
  <si>
    <t>Row Labels</t>
  </si>
  <si>
    <t>Grand Total</t>
  </si>
  <si>
    <t>avg_salary</t>
  </si>
  <si>
    <t>numofemployees</t>
  </si>
  <si>
    <t>hire_date</t>
  </si>
  <si>
    <t>employment_type</t>
  </si>
  <si>
    <t>Full-time</t>
  </si>
  <si>
    <t>Part-time</t>
  </si>
  <si>
    <t>Hire Date</t>
  </si>
  <si>
    <t>Years of Service</t>
  </si>
  <si>
    <t>reason</t>
  </si>
  <si>
    <t>Resigned</t>
  </si>
  <si>
    <t>Terminated</t>
  </si>
  <si>
    <t>Attrition Rate</t>
  </si>
  <si>
    <t>Total Staff</t>
  </si>
  <si>
    <t>Left</t>
  </si>
  <si>
    <t>departure_date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</si>
</sst>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5" borderId="3" xfId="0" applyFont="1" applyFill="1" applyBorder="1"/>
    <xf numFmtId="0" fontId="0" fillId="6" borderId="3" xfId="0" applyFill="1" applyBorder="1"/>
    <xf numFmtId="14" fontId="0" fillId="6" borderId="3" xfId="0" applyNumberFormat="1" applyFill="1" applyBorder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</a:t>
            </a:r>
            <a:r>
              <a:rPr lang="en-US" baseline="0"/>
              <a:t>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attrition!$G$1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attrition!$D$2:$D$6</c:f>
              <c:strCache>
                <c:ptCount val="5"/>
                <c:pt idx="0">
                  <c:v>Engineering</c:v>
                </c:pt>
                <c:pt idx="1">
                  <c:v>Sales</c:v>
                </c:pt>
                <c:pt idx="2">
                  <c:v>Marketing</c:v>
                </c:pt>
                <c:pt idx="3">
                  <c:v>HR</c:v>
                </c:pt>
                <c:pt idx="4">
                  <c:v>Finance</c:v>
                </c:pt>
              </c:strCache>
            </c:strRef>
          </c:cat>
          <c:val>
            <c:numRef>
              <c:f>attrition!$G$2:$G$6</c:f>
              <c:numCache>
                <c:formatCode>General</c:formatCode>
                <c:ptCount val="5"/>
                <c:pt idx="0">
                  <c:v>0.5</c:v>
                </c:pt>
                <c:pt idx="1">
                  <c:v>0.66666666666666663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1-46E2-BF5C-0A097D96B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322912"/>
        <c:axId val="1081323392"/>
      </c:barChart>
      <c:catAx>
        <c:axId val="108132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23392"/>
        <c:crosses val="autoZero"/>
        <c:auto val="1"/>
        <c:lblAlgn val="ctr"/>
        <c:lblOffset val="100"/>
        <c:noMultiLvlLbl val="0"/>
      </c:catAx>
      <c:valAx>
        <c:axId val="10813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2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0</xdr:row>
      <xdr:rowOff>0</xdr:rowOff>
    </xdr:from>
    <xdr:to>
      <xdr:col>15</xdr:col>
      <xdr:colOff>328612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D2CB3-7AC8-B1FA-7A5F-9A1361E7D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jid Manzoor" refreshedDate="46186.936900231478" createdVersion="8" refreshedVersion="8" minRefreshableVersion="3" recordCount="15" xr:uid="{5186D7C6-9B57-4F98-812D-BE1D016FF045}">
  <cacheSource type="worksheet">
    <worksheetSource ref="A1:F16" sheet="employees"/>
  </cacheSource>
  <cacheFields count="6">
    <cacheField name="employee_id" numFmtId="0">
      <sharedItems containsSemiMixedTypes="0" containsString="0" containsNumber="1" containsInteger="1" minValue="1001" maxValue="1015"/>
    </cacheField>
    <cacheField name="name" numFmtId="0">
      <sharedItems/>
    </cacheField>
    <cacheField name="department" numFmtId="0">
      <sharedItems count="5">
        <s v="Engineering"/>
        <s v="Finance"/>
        <s v="HR"/>
        <s v="Marketing"/>
        <s v="Sales"/>
      </sharedItems>
    </cacheField>
    <cacheField name="job_title" numFmtId="0">
      <sharedItems/>
    </cacheField>
    <cacheField name="salary" numFmtId="164">
      <sharedItems containsSemiMixedTypes="0" containsString="0" containsNumber="1" containsInteger="1" minValue="55000" maxValue="115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s v="Ayesha Khan"/>
    <x v="0"/>
    <s v="Software Engineer"/>
    <n v="92000"/>
    <s v="Active"/>
  </r>
  <r>
    <n v="1002"/>
    <s v="Rahul Mehta"/>
    <x v="0"/>
    <s v="Senior Engineer"/>
    <n v="115000"/>
    <s v="Active"/>
  </r>
  <r>
    <n v="1006"/>
    <s v="Vikram Nair"/>
    <x v="0"/>
    <s v="Junior Engineer"/>
    <n v="68000"/>
    <s v="Active"/>
  </r>
  <r>
    <n v="1012"/>
    <s v="Neha Gupta"/>
    <x v="0"/>
    <s v="QA Engineer"/>
    <n v="74000"/>
    <s v="Active"/>
  </r>
  <r>
    <n v="1007"/>
    <s v="Sophie Chen"/>
    <x v="1"/>
    <s v="Financial Analyst"/>
    <n v="88000"/>
    <s v="Active"/>
  </r>
  <r>
    <n v="1011"/>
    <s v="Arjun Patel"/>
    <x v="1"/>
    <s v="Senior Analyst"/>
    <n v="102000"/>
    <s v="Active"/>
  </r>
  <r>
    <n v="1003"/>
    <s v="Priya Sharma"/>
    <x v="2"/>
    <s v="HR Manager"/>
    <n v="78000"/>
    <s v="Active"/>
  </r>
  <r>
    <n v="1008"/>
    <s v="Ananya Das"/>
    <x v="2"/>
    <s v="HR Coordinator"/>
    <n v="55000"/>
    <s v="Active"/>
  </r>
  <r>
    <n v="1015"/>
    <s v="Tom Bennett"/>
    <x v="2"/>
    <s v="Recruiter"/>
    <n v="61000"/>
    <s v="Active"/>
  </r>
  <r>
    <n v="1005"/>
    <s v="Linda Torres"/>
    <x v="3"/>
    <s v="Marketing Lead"/>
    <n v="84000"/>
    <s v="Active"/>
  </r>
  <r>
    <n v="1010"/>
    <s v="Emily Clark"/>
    <x v="3"/>
    <s v="Content Strategist"/>
    <n v="71000"/>
    <s v="Active"/>
  </r>
  <r>
    <n v="1014"/>
    <s v="Fatima Al-Sayed"/>
    <x v="3"/>
    <s v="Digital Marketer"/>
    <n v="67000"/>
    <s v="Active"/>
  </r>
  <r>
    <n v="1004"/>
    <s v="James Okafor"/>
    <x v="4"/>
    <s v="Sales Executive"/>
    <n v="62000"/>
    <s v="Active"/>
  </r>
  <r>
    <n v="1009"/>
    <s v="Carlos Rivera"/>
    <x v="4"/>
    <s v="Sales Manager"/>
    <n v="97000"/>
    <s v="Active"/>
  </r>
  <r>
    <n v="1013"/>
    <s v="Daniel Kim"/>
    <x v="4"/>
    <s v="Sales Executive"/>
    <n v="59000"/>
    <s v="In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F758D-597A-4B38-AECD-4B8173E40BD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6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g_salary" fld="4" subtotal="average" baseField="2" baseItem="0" numFmtId="164"/>
    <dataField name="numofemployees" fld="4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3F14-CB88-48FB-B699-D29A89854104}">
  <dimension ref="A3:C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6.85546875" bestFit="1" customWidth="1"/>
  </cols>
  <sheetData>
    <row r="3" spans="1:3" x14ac:dyDescent="0.25">
      <c r="A3" s="11" t="s">
        <v>45</v>
      </c>
      <c r="B3" t="s">
        <v>47</v>
      </c>
      <c r="C3" t="s">
        <v>48</v>
      </c>
    </row>
    <row r="4" spans="1:3" x14ac:dyDescent="0.25">
      <c r="A4" s="12" t="s">
        <v>7</v>
      </c>
      <c r="B4" s="13">
        <v>87250</v>
      </c>
      <c r="C4">
        <v>4</v>
      </c>
    </row>
    <row r="5" spans="1:3" x14ac:dyDescent="0.25">
      <c r="A5" s="12" t="s">
        <v>24</v>
      </c>
      <c r="B5" s="13">
        <v>95000</v>
      </c>
      <c r="C5">
        <v>2</v>
      </c>
    </row>
    <row r="6" spans="1:3" x14ac:dyDescent="0.25">
      <c r="A6" s="12" t="s">
        <v>13</v>
      </c>
      <c r="B6" s="13">
        <v>64666.666666666664</v>
      </c>
      <c r="C6">
        <v>3</v>
      </c>
    </row>
    <row r="7" spans="1:3" x14ac:dyDescent="0.25">
      <c r="A7" s="12" t="s">
        <v>19</v>
      </c>
      <c r="B7" s="13">
        <v>74000</v>
      </c>
      <c r="C7">
        <v>3</v>
      </c>
    </row>
    <row r="8" spans="1:3" x14ac:dyDescent="0.25">
      <c r="A8" s="12" t="s">
        <v>16</v>
      </c>
      <c r="B8" s="13">
        <v>72666.666666666672</v>
      </c>
      <c r="C8">
        <v>3</v>
      </c>
    </row>
    <row r="9" spans="1:3" x14ac:dyDescent="0.25">
      <c r="A9" s="12" t="s">
        <v>46</v>
      </c>
      <c r="B9" s="13">
        <v>78200</v>
      </c>
      <c r="C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14" customWidth="1"/>
    <col min="2" max="2" width="20" customWidth="1"/>
    <col min="3" max="3" width="16" customWidth="1"/>
    <col min="4" max="4" width="22" customWidth="1"/>
    <col min="5" max="5" width="14" customWidth="1"/>
    <col min="6" max="6" width="10" customWidth="1"/>
    <col min="8" max="8" width="10.7109375" bestFit="1" customWidth="1"/>
    <col min="9" max="9" width="9.85546875" bestFit="1" customWidth="1"/>
  </cols>
  <sheetData>
    <row r="1" spans="1:10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8" t="s">
        <v>42</v>
      </c>
      <c r="I1" s="8" t="s">
        <v>43</v>
      </c>
      <c r="J1" s="8" t="s">
        <v>44</v>
      </c>
    </row>
    <row r="2" spans="1:10" x14ac:dyDescent="0.25">
      <c r="A2" s="2">
        <v>1001</v>
      </c>
      <c r="B2" s="3" t="s">
        <v>6</v>
      </c>
      <c r="C2" s="2" t="s">
        <v>7</v>
      </c>
      <c r="D2" s="2" t="s">
        <v>8</v>
      </c>
      <c r="E2" s="4">
        <v>92000</v>
      </c>
      <c r="F2" s="2" t="s">
        <v>9</v>
      </c>
      <c r="H2" s="9" t="s">
        <v>7</v>
      </c>
      <c r="I2">
        <f>AVERAGEIF($C$2:$C$16, H2, $E$2:$E$16)</f>
        <v>87250</v>
      </c>
      <c r="J2">
        <f>COUNTIF($C$2:$C$16, H2)</f>
        <v>4</v>
      </c>
    </row>
    <row r="3" spans="1:10" x14ac:dyDescent="0.25">
      <c r="A3" s="5">
        <v>1002</v>
      </c>
      <c r="B3" s="6" t="s">
        <v>10</v>
      </c>
      <c r="C3" s="5" t="s">
        <v>7</v>
      </c>
      <c r="D3" s="5" t="s">
        <v>11</v>
      </c>
      <c r="E3" s="7">
        <v>115000</v>
      </c>
      <c r="F3" s="5" t="s">
        <v>9</v>
      </c>
      <c r="H3" s="9" t="s">
        <v>24</v>
      </c>
      <c r="I3">
        <f t="shared" ref="I3:I6" si="0">AVERAGEIF($C$2:$C$16, H3, $E$2:$E$16)</f>
        <v>95000</v>
      </c>
    </row>
    <row r="4" spans="1:10" x14ac:dyDescent="0.25">
      <c r="A4" s="5">
        <v>1006</v>
      </c>
      <c r="B4" s="6" t="s">
        <v>21</v>
      </c>
      <c r="C4" s="5" t="s">
        <v>7</v>
      </c>
      <c r="D4" s="5" t="s">
        <v>22</v>
      </c>
      <c r="E4" s="7">
        <v>68000</v>
      </c>
      <c r="F4" s="5" t="s">
        <v>9</v>
      </c>
      <c r="H4" s="9" t="s">
        <v>13</v>
      </c>
      <c r="I4">
        <f t="shared" si="0"/>
        <v>64666.666666666664</v>
      </c>
    </row>
    <row r="5" spans="1:10" x14ac:dyDescent="0.25">
      <c r="A5" s="5">
        <v>1012</v>
      </c>
      <c r="B5" s="6" t="s">
        <v>34</v>
      </c>
      <c r="C5" s="5" t="s">
        <v>7</v>
      </c>
      <c r="D5" s="5" t="s">
        <v>35</v>
      </c>
      <c r="E5" s="7">
        <v>74000</v>
      </c>
      <c r="F5" s="5" t="s">
        <v>9</v>
      </c>
      <c r="H5" s="10" t="s">
        <v>19</v>
      </c>
      <c r="I5">
        <f t="shared" si="0"/>
        <v>74000</v>
      </c>
    </row>
    <row r="6" spans="1:10" x14ac:dyDescent="0.25">
      <c r="A6" s="2">
        <v>1007</v>
      </c>
      <c r="B6" s="3" t="s">
        <v>23</v>
      </c>
      <c r="C6" s="2" t="s">
        <v>24</v>
      </c>
      <c r="D6" s="2" t="s">
        <v>25</v>
      </c>
      <c r="E6" s="4">
        <v>88000</v>
      </c>
      <c r="F6" s="2" t="s">
        <v>9</v>
      </c>
      <c r="H6" s="10" t="s">
        <v>16</v>
      </c>
      <c r="I6">
        <f t="shared" si="0"/>
        <v>72666.666666666672</v>
      </c>
    </row>
    <row r="7" spans="1:10" x14ac:dyDescent="0.25">
      <c r="A7" s="2">
        <v>1011</v>
      </c>
      <c r="B7" s="3" t="s">
        <v>32</v>
      </c>
      <c r="C7" s="2" t="s">
        <v>24</v>
      </c>
      <c r="D7" s="2" t="s">
        <v>33</v>
      </c>
      <c r="E7" s="4">
        <v>102000</v>
      </c>
      <c r="F7" s="2" t="s">
        <v>9</v>
      </c>
      <c r="H7" s="10"/>
    </row>
    <row r="8" spans="1:10" x14ac:dyDescent="0.25">
      <c r="A8" s="2">
        <v>1003</v>
      </c>
      <c r="B8" s="3" t="s">
        <v>12</v>
      </c>
      <c r="C8" s="2" t="s">
        <v>13</v>
      </c>
      <c r="D8" s="2" t="s">
        <v>14</v>
      </c>
      <c r="E8" s="4">
        <v>78000</v>
      </c>
      <c r="F8" s="2" t="s">
        <v>9</v>
      </c>
    </row>
    <row r="9" spans="1:10" x14ac:dyDescent="0.25">
      <c r="A9" s="5">
        <v>1008</v>
      </c>
      <c r="B9" s="6" t="s">
        <v>26</v>
      </c>
      <c r="C9" s="5" t="s">
        <v>13</v>
      </c>
      <c r="D9" s="5" t="s">
        <v>27</v>
      </c>
      <c r="E9" s="7">
        <v>55000</v>
      </c>
      <c r="F9" s="5" t="s">
        <v>9</v>
      </c>
    </row>
    <row r="10" spans="1:10" x14ac:dyDescent="0.25">
      <c r="A10" s="2">
        <v>1015</v>
      </c>
      <c r="B10" s="3" t="s">
        <v>40</v>
      </c>
      <c r="C10" s="2" t="s">
        <v>13</v>
      </c>
      <c r="D10" s="2" t="s">
        <v>41</v>
      </c>
      <c r="E10" s="4">
        <v>61000</v>
      </c>
      <c r="F10" s="2" t="s">
        <v>9</v>
      </c>
    </row>
    <row r="11" spans="1:10" x14ac:dyDescent="0.25">
      <c r="A11" s="2">
        <v>1005</v>
      </c>
      <c r="B11" s="3" t="s">
        <v>18</v>
      </c>
      <c r="C11" s="2" t="s">
        <v>19</v>
      </c>
      <c r="D11" s="2" t="s">
        <v>20</v>
      </c>
      <c r="E11" s="4">
        <v>84000</v>
      </c>
      <c r="F11" s="2" t="s">
        <v>9</v>
      </c>
    </row>
    <row r="12" spans="1:10" x14ac:dyDescent="0.25">
      <c r="A12" s="5">
        <v>1010</v>
      </c>
      <c r="B12" s="6" t="s">
        <v>30</v>
      </c>
      <c r="C12" s="5" t="s">
        <v>19</v>
      </c>
      <c r="D12" s="5" t="s">
        <v>31</v>
      </c>
      <c r="E12" s="7">
        <v>71000</v>
      </c>
      <c r="F12" s="5" t="s">
        <v>9</v>
      </c>
    </row>
    <row r="13" spans="1:10" x14ac:dyDescent="0.25">
      <c r="A13" s="5">
        <v>1014</v>
      </c>
      <c r="B13" s="6" t="s">
        <v>38</v>
      </c>
      <c r="C13" s="5" t="s">
        <v>19</v>
      </c>
      <c r="D13" s="5" t="s">
        <v>39</v>
      </c>
      <c r="E13" s="7">
        <v>67000</v>
      </c>
      <c r="F13" s="5" t="s">
        <v>9</v>
      </c>
    </row>
    <row r="14" spans="1:10" x14ac:dyDescent="0.25">
      <c r="A14" s="5">
        <v>1004</v>
      </c>
      <c r="B14" s="6" t="s">
        <v>15</v>
      </c>
      <c r="C14" s="5" t="s">
        <v>16</v>
      </c>
      <c r="D14" s="5" t="s">
        <v>17</v>
      </c>
      <c r="E14" s="7">
        <v>62000</v>
      </c>
      <c r="F14" s="5" t="s">
        <v>9</v>
      </c>
    </row>
    <row r="15" spans="1:10" x14ac:dyDescent="0.25">
      <c r="A15" s="2">
        <v>1009</v>
      </c>
      <c r="B15" s="3" t="s">
        <v>28</v>
      </c>
      <c r="C15" s="2" t="s">
        <v>16</v>
      </c>
      <c r="D15" s="2" t="s">
        <v>29</v>
      </c>
      <c r="E15" s="4">
        <v>97000</v>
      </c>
      <c r="F15" s="2" t="s">
        <v>9</v>
      </c>
    </row>
    <row r="16" spans="1:10" x14ac:dyDescent="0.25">
      <c r="A16" s="2">
        <v>1013</v>
      </c>
      <c r="B16" s="3" t="s">
        <v>36</v>
      </c>
      <c r="C16" s="2" t="s">
        <v>16</v>
      </c>
      <c r="D16" s="2" t="s">
        <v>17</v>
      </c>
      <c r="E16" s="4">
        <v>59000</v>
      </c>
      <c r="F16" s="2" t="s">
        <v>37</v>
      </c>
    </row>
  </sheetData>
  <sortState xmlns:xlrd2="http://schemas.microsoft.com/office/spreadsheetml/2017/richdata2" ref="A2:F16">
    <sortCondition ref="C2:C16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8B0E-3A86-4C1B-BF3E-63CCD50B982B}">
  <dimension ref="A1:H16"/>
  <sheetViews>
    <sheetView workbookViewId="0">
      <selection activeCell="E3" sqref="E3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3" width="17.7109375" bestFit="1" customWidth="1"/>
    <col min="8" max="8" width="15" bestFit="1" customWidth="1"/>
  </cols>
  <sheetData>
    <row r="1" spans="1:8" x14ac:dyDescent="0.25">
      <c r="A1" s="14" t="s">
        <v>0</v>
      </c>
      <c r="B1" s="14" t="s">
        <v>49</v>
      </c>
      <c r="C1" s="14" t="s">
        <v>50</v>
      </c>
      <c r="G1" t="s">
        <v>53</v>
      </c>
      <c r="H1" t="s">
        <v>54</v>
      </c>
    </row>
    <row r="2" spans="1:8" x14ac:dyDescent="0.25">
      <c r="A2" s="15">
        <v>1001</v>
      </c>
      <c r="B2" s="16">
        <v>43174</v>
      </c>
      <c r="C2" s="15" t="s">
        <v>51</v>
      </c>
      <c r="G2">
        <f>VLOOKUP(A2, employment_details!$A$2:$C$16, 2, FALSE)</f>
        <v>43174</v>
      </c>
      <c r="H2">
        <f ca="1">DATEDIF(G2, TODAY(), "Y")</f>
        <v>8</v>
      </c>
    </row>
    <row r="3" spans="1:8" x14ac:dyDescent="0.25">
      <c r="A3" s="15">
        <v>1002</v>
      </c>
      <c r="B3" s="16">
        <v>42552</v>
      </c>
      <c r="C3" s="15" t="s">
        <v>51</v>
      </c>
      <c r="G3">
        <f>VLOOKUP(A3,employment_details!$A$2:$A$16:$C$2:$C$16,2,FALSE)</f>
        <v>42552</v>
      </c>
      <c r="H3">
        <f t="shared" ref="H3:H16" ca="1" si="0">DATEDIF(G3, TODAY(), "Y")</f>
        <v>9</v>
      </c>
    </row>
    <row r="4" spans="1:8" x14ac:dyDescent="0.25">
      <c r="A4" s="15">
        <v>1003</v>
      </c>
      <c r="B4" s="16">
        <v>43789</v>
      </c>
      <c r="C4" s="15" t="s">
        <v>51</v>
      </c>
      <c r="G4">
        <f>VLOOKUP(A4,employment_details!$A$2:$A$16:$C$2:$C$16,2,FALSE)</f>
        <v>43789</v>
      </c>
      <c r="H4">
        <f t="shared" ca="1" si="0"/>
        <v>6</v>
      </c>
    </row>
    <row r="5" spans="1:8" x14ac:dyDescent="0.25">
      <c r="A5" s="15">
        <v>1004</v>
      </c>
      <c r="B5" s="16">
        <v>44326</v>
      </c>
      <c r="C5" s="15" t="s">
        <v>51</v>
      </c>
      <c r="G5">
        <f>VLOOKUP(A5,employment_details!$A$2:$A$16:$C$2:$C$16,2,FALSE)</f>
        <v>44326</v>
      </c>
      <c r="H5">
        <f t="shared" ca="1" si="0"/>
        <v>5</v>
      </c>
    </row>
    <row r="6" spans="1:8" x14ac:dyDescent="0.25">
      <c r="A6" s="15">
        <v>1005</v>
      </c>
      <c r="B6" s="16">
        <v>42981</v>
      </c>
      <c r="C6" s="15" t="s">
        <v>51</v>
      </c>
      <c r="G6">
        <f>VLOOKUP(A6,employment_details!$A$2:$A$16:$C$2:$C$16,2,FALSE)</f>
        <v>42981</v>
      </c>
      <c r="H6">
        <f t="shared" ca="1" si="0"/>
        <v>8</v>
      </c>
    </row>
    <row r="7" spans="1:8" x14ac:dyDescent="0.25">
      <c r="A7" s="15">
        <v>1006</v>
      </c>
      <c r="B7" s="16">
        <v>44579</v>
      </c>
      <c r="C7" s="15" t="s">
        <v>51</v>
      </c>
      <c r="G7">
        <f>VLOOKUP(A7,employment_details!$A$2:$A$16:$C$2:$C$16,2,FALSE)</f>
        <v>44579</v>
      </c>
      <c r="H7">
        <f t="shared" ca="1" si="0"/>
        <v>4</v>
      </c>
    </row>
    <row r="8" spans="1:8" x14ac:dyDescent="0.25">
      <c r="A8" s="15">
        <v>1007</v>
      </c>
      <c r="B8" s="16">
        <v>44007</v>
      </c>
      <c r="C8" s="15" t="s">
        <v>51</v>
      </c>
      <c r="G8">
        <f>VLOOKUP(A8,employment_details!$A$2:$A$16:$C$2:$C$16,2,FALSE)</f>
        <v>44007</v>
      </c>
      <c r="H8">
        <f t="shared" ca="1" si="0"/>
        <v>5</v>
      </c>
    </row>
    <row r="9" spans="1:8" x14ac:dyDescent="0.25">
      <c r="A9" s="15">
        <v>1008</v>
      </c>
      <c r="B9" s="16">
        <v>44971</v>
      </c>
      <c r="C9" s="15" t="s">
        <v>51</v>
      </c>
      <c r="G9">
        <f>VLOOKUP(A9,employment_details!$A$2:$A$16:$C$2:$C$16,2,FALSE)</f>
        <v>44971</v>
      </c>
      <c r="H9">
        <f t="shared" ca="1" si="0"/>
        <v>3</v>
      </c>
    </row>
    <row r="10" spans="1:8" x14ac:dyDescent="0.25">
      <c r="A10" s="15">
        <v>1009</v>
      </c>
      <c r="B10" s="16">
        <v>42339</v>
      </c>
      <c r="C10" s="15" t="s">
        <v>51</v>
      </c>
      <c r="G10">
        <f>VLOOKUP(A10,employment_details!$A$2:$A$16:$C$2:$C$16,2,FALSE)</f>
        <v>42339</v>
      </c>
      <c r="H10">
        <f t="shared" ca="1" si="0"/>
        <v>10</v>
      </c>
    </row>
    <row r="11" spans="1:8" x14ac:dyDescent="0.25">
      <c r="A11" s="15">
        <v>1010</v>
      </c>
      <c r="B11" s="16">
        <v>44438</v>
      </c>
      <c r="C11" s="15" t="s">
        <v>51</v>
      </c>
      <c r="G11">
        <f>VLOOKUP(A11,employment_details!$A$2:$A$16:$C$2:$C$16,2,FALSE)</f>
        <v>44438</v>
      </c>
      <c r="H11">
        <f t="shared" ca="1" si="0"/>
        <v>4</v>
      </c>
    </row>
    <row r="12" spans="1:8" x14ac:dyDescent="0.25">
      <c r="A12" s="15">
        <v>1011</v>
      </c>
      <c r="B12" s="16">
        <v>42836</v>
      </c>
      <c r="C12" s="15" t="s">
        <v>51</v>
      </c>
      <c r="G12">
        <f>VLOOKUP(A12,employment_details!$A$2:$A$16:$C$2:$C$16,2,FALSE)</f>
        <v>42836</v>
      </c>
      <c r="H12">
        <f t="shared" ca="1" si="0"/>
        <v>9</v>
      </c>
    </row>
    <row r="13" spans="1:8" x14ac:dyDescent="0.25">
      <c r="A13" s="15">
        <v>1012</v>
      </c>
      <c r="B13" s="16">
        <v>44839</v>
      </c>
      <c r="C13" s="15" t="s">
        <v>51</v>
      </c>
      <c r="G13">
        <f>VLOOKUP(A13,employment_details!$A$2:$A$16:$C$2:$C$16,2,FALSE)</f>
        <v>44839</v>
      </c>
      <c r="H13">
        <f t="shared" ca="1" si="0"/>
        <v>3</v>
      </c>
    </row>
    <row r="14" spans="1:8" x14ac:dyDescent="0.25">
      <c r="A14" s="15">
        <v>1013</v>
      </c>
      <c r="B14" s="16">
        <v>43912</v>
      </c>
      <c r="C14" s="15" t="s">
        <v>51</v>
      </c>
      <c r="G14">
        <f>VLOOKUP(A14,employment_details!$A$2:$A$16:$C$2:$C$16,2,FALSE)</f>
        <v>43912</v>
      </c>
      <c r="H14">
        <f t="shared" ca="1" si="0"/>
        <v>6</v>
      </c>
    </row>
    <row r="15" spans="1:8" x14ac:dyDescent="0.25">
      <c r="A15" s="15">
        <v>1014</v>
      </c>
      <c r="B15" s="16">
        <v>45078</v>
      </c>
      <c r="C15" s="15" t="s">
        <v>52</v>
      </c>
      <c r="G15">
        <f>VLOOKUP(A15,employment_details!$A$2:$A$16:$C$2:$C$16,2,FALSE)</f>
        <v>45078</v>
      </c>
      <c r="H15">
        <f t="shared" ca="1" si="0"/>
        <v>3</v>
      </c>
    </row>
    <row r="16" spans="1:8" x14ac:dyDescent="0.25">
      <c r="A16" s="15">
        <v>1015</v>
      </c>
      <c r="B16" s="16">
        <v>43661</v>
      </c>
      <c r="C16" s="15" t="s">
        <v>51</v>
      </c>
      <c r="G16">
        <f>VLOOKUP(A16,employment_details!$A$2:$A$16:$C$2:$C$16,2,FALSE)</f>
        <v>43661</v>
      </c>
      <c r="H16">
        <f t="shared" ca="1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D90F-D819-4EE7-81B2-1A967328E59B}">
  <dimension ref="A1:N16"/>
  <sheetViews>
    <sheetView workbookViewId="0">
      <selection activeCell="F14" sqref="F14"/>
    </sheetView>
  </sheetViews>
  <sheetFormatPr defaultRowHeight="15" x14ac:dyDescent="0.25"/>
  <cols>
    <col min="1" max="1" width="12.7109375" bestFit="1" customWidth="1"/>
    <col min="2" max="2" width="15" bestFit="1" customWidth="1"/>
    <col min="3" max="3" width="11.28515625" bestFit="1" customWidth="1"/>
    <col min="4" max="4" width="12.5703125" bestFit="1" customWidth="1"/>
    <col min="5" max="5" width="11.28515625" bestFit="1" customWidth="1"/>
    <col min="7" max="7" width="13.140625" bestFit="1" customWidth="1"/>
    <col min="11" max="11" width="15" bestFit="1" customWidth="1"/>
  </cols>
  <sheetData>
    <row r="1" spans="1:14" x14ac:dyDescent="0.25">
      <c r="A1" t="s">
        <v>0</v>
      </c>
      <c r="B1" t="s">
        <v>61</v>
      </c>
      <c r="C1" t="s">
        <v>55</v>
      </c>
      <c r="D1" t="s">
        <v>42</v>
      </c>
      <c r="E1" t="s">
        <v>59</v>
      </c>
      <c r="F1" t="s">
        <v>60</v>
      </c>
      <c r="G1" t="s">
        <v>58</v>
      </c>
    </row>
    <row r="2" spans="1:14" x14ac:dyDescent="0.25">
      <c r="A2">
        <v>1013</v>
      </c>
      <c r="B2" s="17">
        <v>45611</v>
      </c>
      <c r="C2" t="s">
        <v>56</v>
      </c>
      <c r="D2" s="18" t="s">
        <v>7</v>
      </c>
      <c r="E2" s="18">
        <f>COUNTIF(employees!$C$2:$C$17,D2)</f>
        <v>4</v>
      </c>
      <c r="F2">
        <v>2</v>
      </c>
      <c r="G2">
        <f>F2/E2</f>
        <v>0.5</v>
      </c>
      <c r="K2" s="17"/>
      <c r="M2" s="18"/>
      <c r="N2" s="18"/>
    </row>
    <row r="3" spans="1:14" x14ac:dyDescent="0.25">
      <c r="A3">
        <v>1004</v>
      </c>
      <c r="B3" s="17">
        <v>45524</v>
      </c>
      <c r="C3" t="s">
        <v>56</v>
      </c>
      <c r="D3" s="18" t="s">
        <v>16</v>
      </c>
      <c r="E3" s="18">
        <f>COUNTIF(employees!$C$2:$C$17,D3)</f>
        <v>3</v>
      </c>
      <c r="F3">
        <v>2</v>
      </c>
      <c r="G3">
        <f>F3/E3</f>
        <v>0.66666666666666663</v>
      </c>
      <c r="K3" s="17"/>
      <c r="M3" s="18"/>
      <c r="N3" s="18"/>
    </row>
    <row r="4" spans="1:14" x14ac:dyDescent="0.25">
      <c r="A4">
        <v>1008</v>
      </c>
      <c r="B4" s="17">
        <v>45453</v>
      </c>
      <c r="C4" t="s">
        <v>57</v>
      </c>
      <c r="D4" s="18" t="s">
        <v>19</v>
      </c>
      <c r="E4" s="18">
        <f>COUNTIF(employees!$C$2:$C$17,D4)</f>
        <v>3</v>
      </c>
      <c r="F4">
        <v>1</v>
      </c>
      <c r="G4">
        <f t="shared" ref="G3:G6" si="0">F4/E4</f>
        <v>0.33333333333333331</v>
      </c>
      <c r="K4" s="17"/>
      <c r="M4" s="18"/>
      <c r="N4" s="18"/>
    </row>
    <row r="5" spans="1:14" x14ac:dyDescent="0.25">
      <c r="A5">
        <v>1010</v>
      </c>
      <c r="B5" s="17">
        <v>45662</v>
      </c>
      <c r="C5" t="s">
        <v>56</v>
      </c>
      <c r="D5" s="18" t="s">
        <v>13</v>
      </c>
      <c r="E5" s="18">
        <f>COUNTIF(employees!$C$2:$C$17,D5)</f>
        <v>3</v>
      </c>
      <c r="F5">
        <v>1</v>
      </c>
      <c r="G5">
        <f t="shared" si="0"/>
        <v>0.33333333333333331</v>
      </c>
      <c r="K5" s="17"/>
      <c r="M5" s="18"/>
      <c r="N5" s="18"/>
    </row>
    <row r="6" spans="1:14" x14ac:dyDescent="0.25">
      <c r="A6">
        <v>1006</v>
      </c>
      <c r="B6" s="17">
        <v>45565</v>
      </c>
      <c r="C6" t="s">
        <v>56</v>
      </c>
      <c r="D6" s="18" t="s">
        <v>24</v>
      </c>
      <c r="E6" s="18">
        <f>COUNTIF(employees!$C$2:$C$17,D6)</f>
        <v>2</v>
      </c>
      <c r="F6">
        <v>0</v>
      </c>
      <c r="G6">
        <f t="shared" si="0"/>
        <v>0</v>
      </c>
      <c r="K6" s="17"/>
      <c r="M6" s="18"/>
      <c r="N6" s="18"/>
    </row>
    <row r="12" spans="1:14" x14ac:dyDescent="0.25">
      <c r="D12" s="17"/>
    </row>
    <row r="13" spans="1:14" x14ac:dyDescent="0.25">
      <c r="D13" s="17"/>
    </row>
    <row r="14" spans="1:14" x14ac:dyDescent="0.25">
      <c r="D14" s="17"/>
    </row>
    <row r="15" spans="1:14" x14ac:dyDescent="0.25">
      <c r="D15" s="17"/>
    </row>
    <row r="16" spans="1:14" x14ac:dyDescent="0.25">
      <c r="D16" s="17"/>
    </row>
  </sheetData>
  <conditionalFormatting sqref="G2:G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employees</vt:lpstr>
      <vt:lpstr>employment_details</vt:lpstr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Sajid Manzoor</cp:lastModifiedBy>
  <dcterms:created xsi:type="dcterms:W3CDTF">2026-06-05T11:14:12Z</dcterms:created>
  <dcterms:modified xsi:type="dcterms:W3CDTF">2026-06-25T05:41:11Z</dcterms:modified>
</cp:coreProperties>
</file>