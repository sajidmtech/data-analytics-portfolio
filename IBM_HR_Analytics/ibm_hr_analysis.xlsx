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id\Downloads\"/>
    </mc:Choice>
  </mc:AlternateContent>
  <xr:revisionPtr revIDLastSave="0" documentId="8_{4412F598-E20B-4DC4-96A8-3562B344EA7A}" xr6:coauthVersionLast="47" xr6:coauthVersionMax="47" xr10:uidLastSave="{00000000-0000-0000-0000-000000000000}"/>
  <bookViews>
    <workbookView xWindow="-120" yWindow="-120" windowWidth="29040" windowHeight="15720" firstSheet="2" activeTab="3" xr2:uid="{5E6040C9-592C-4F4F-BD29-4529D5AC0FC0}"/>
  </bookViews>
  <sheets>
    <sheet name="Raw Data" sheetId="1" r:id="rId1"/>
    <sheet name="Q1 - Performance" sheetId="2" r:id="rId2"/>
    <sheet name="Q2 - Overtime" sheetId="3" r:id="rId3"/>
    <sheet name="Q3 - Sal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D3" i="4"/>
  <c r="D2" i="4"/>
  <c r="E3" i="4"/>
  <c r="E2" i="4"/>
  <c r="C3" i="4"/>
  <c r="C2" i="4"/>
  <c r="B3" i="4"/>
  <c r="E3" i="3"/>
  <c r="E2" i="3"/>
  <c r="C3" i="3"/>
  <c r="D3" i="3" s="1"/>
  <c r="C2" i="3"/>
  <c r="D2" i="3" s="1"/>
  <c r="B3" i="3"/>
  <c r="B2" i="3"/>
  <c r="D3" i="2"/>
  <c r="D4" i="2"/>
  <c r="D2" i="2"/>
  <c r="C3" i="2"/>
  <c r="C4" i="2"/>
  <c r="C2" i="2"/>
  <c r="B3" i="2"/>
  <c r="B4" i="2"/>
  <c r="B2" i="2"/>
</calcChain>
</file>

<file path=xl/sharedStrings.xml><?xml version="1.0" encoding="utf-8"?>
<sst xmlns="http://schemas.openxmlformats.org/spreadsheetml/2006/main" count="13284" uniqueCount="73">
  <si>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</si>
  <si>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</si>
  <si>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</si>
  <si>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</si>
  <si>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</si>
  <si>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</si>
  <si>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</si>
  <si>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</si>
  <si>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</si>
  <si>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</si>
  <si>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</si>
  <si>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</si>
  <si>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</si>
  <si>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</si>
  <si>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</si>
  <si>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</si>
  <si>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</si>
  <si>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</si>
  <si>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</si>
  <si>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</si>
  <si>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</si>
  <si>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</si>
  <si>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</si>
  <si>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</si>
  <si>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</si>
  <si>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</si>
  <si>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</si>
  <si>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</si>
  <si>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</si>
  <si>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</si>
  <si>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</si>
  <si>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</si>
  <si>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</si>
  <si>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</si>
  <si>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</si>
  <si>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</si>
  <si>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</si>
  <si>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</si>
  <si>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</si>
  <si>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</si>
  <si>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</si>
  <si>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</si>
  <si>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</si>
  <si>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</si>
  <si>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</si>
  <si>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</si>
  <si>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</si>
  <si>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</si>
  <si>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</si>
  <si>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</si>
  <si>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</si>
  <si>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</si>
  <si>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</si>
  <si>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</si>
  <si>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</si>
  <si>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</si>
  <si>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</si>
  <si>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</si>
  <si>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</si>
  <si>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</si>
  <si>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</si>
  <si>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</si>
  <si>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</si>
  <si>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High Performers</t>
  </si>
  <si>
    <t>High Performance Rate</t>
  </si>
  <si>
    <t>Overtime Status</t>
  </si>
  <si>
    <t>Total Emploees</t>
  </si>
  <si>
    <t>Employees Left</t>
  </si>
  <si>
    <t>Attrition Rate</t>
  </si>
  <si>
    <t>Avg Monthly Income</t>
  </si>
  <si>
    <t>Performance Rating</t>
  </si>
  <si>
    <t>Avg Salary Hike</t>
  </si>
  <si>
    <t>Avg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</si>
</sst>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Performance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'Q1 - Performance'!$D$1</c:f>
              <c:strCache>
                <c:ptCount val="1"/>
                <c:pt idx="0">
                  <c:v>High Performance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Performance'!$A$2:$A$4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'Q1 - Performance'!$D$2:$D$4</c:f>
              <c:numCache>
                <c:formatCode>0.000</c:formatCode>
                <c:ptCount val="3"/>
                <c:pt idx="0">
                  <c:v>0.16233090530697192</c:v>
                </c:pt>
                <c:pt idx="1">
                  <c:v>0.1367713004484305</c:v>
                </c:pt>
                <c:pt idx="2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C-4929-AF6C-0659C45CC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2554095"/>
        <c:axId val="2091271999"/>
      </c:barChart>
      <c:catAx>
        <c:axId val="210255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71999"/>
        <c:crosses val="autoZero"/>
        <c:auto val="1"/>
        <c:lblAlgn val="ctr"/>
        <c:lblOffset val="100"/>
        <c:noMultiLvlLbl val="0"/>
      </c:catAx>
      <c:valAx>
        <c:axId val="20912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55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Rate: OverTime</a:t>
            </a:r>
            <a:r>
              <a:rPr lang="en-US" baseline="0"/>
              <a:t> vs Non-OverTime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'Q2 - Overtime'!$D$1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'Q2 - Overtime'!$A$2:$A$3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'Q2 - Overtime'!$D$2:$D$3</c:f>
              <c:numCache>
                <c:formatCode>0.0%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D-4AFE-8503-4EBAC1AAD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389935"/>
        <c:axId val="453387535"/>
      </c:barChart>
      <c:catAx>
        <c:axId val="45338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87535"/>
        <c:crosses val="autoZero"/>
        <c:auto val="1"/>
        <c:lblAlgn val="ctr"/>
        <c:lblOffset val="100"/>
        <c:noMultiLvlLbl val="0"/>
      </c:catAx>
      <c:valAx>
        <c:axId val="45338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8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5</xdr:row>
      <xdr:rowOff>14287</xdr:rowOff>
    </xdr:from>
    <xdr:to>
      <xdr:col>3</xdr:col>
      <xdr:colOff>1004887</xdr:colOff>
      <xdr:row>19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47EDD-BD44-8226-0D85-9001591DC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19</xdr:row>
      <xdr:rowOff>152400</xdr:rowOff>
    </xdr:from>
    <xdr:ext cx="4572000" cy="468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EED451-A11D-7054-BC12-1E59340E4021}"/>
            </a:ext>
          </a:extLst>
        </xdr:cNvPr>
        <xdr:cNvSpPr txBox="1"/>
      </xdr:nvSpPr>
      <xdr:spPr>
        <a:xfrm>
          <a:off x="0" y="3771900"/>
          <a:ext cx="457200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>
              <a:solidFill>
                <a:srgbClr val="FF0000"/>
              </a:solidFill>
            </a:rPr>
            <a:t>Key Finding</a:t>
          </a:r>
          <a:r>
            <a:rPr lang="en-US" sz="1200" b="1"/>
            <a:t>: R&amp;D has the highest concentration of high performers </a:t>
          </a:r>
        </a:p>
        <a:p>
          <a:pPr algn="ctr"/>
          <a:r>
            <a:rPr lang="en-US" sz="1200" b="1"/>
            <a:t>at 65% of the total workforce despite having the highest headcount.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4</xdr:row>
      <xdr:rowOff>4762</xdr:rowOff>
    </xdr:from>
    <xdr:to>
      <xdr:col>4</xdr:col>
      <xdr:colOff>862012</xdr:colOff>
      <xdr:row>18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132009-BF77-AFD4-C05D-55C9EF3AD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9524</xdr:colOff>
      <xdr:row>18</xdr:row>
      <xdr:rowOff>152400</xdr:rowOff>
    </xdr:from>
    <xdr:ext cx="4600575" cy="78124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91DF74E-9AD5-E5CD-79FD-D78F299A93C4}"/>
            </a:ext>
          </a:extLst>
        </xdr:cNvPr>
        <xdr:cNvSpPr txBox="1"/>
      </xdr:nvSpPr>
      <xdr:spPr>
        <a:xfrm>
          <a:off x="9524" y="3581400"/>
          <a:ext cx="4600575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b="1">
              <a:solidFill>
                <a:srgbClr val="FF0000"/>
              </a:solidFill>
            </a:rPr>
            <a:t>Key Finding</a:t>
          </a:r>
          <a:r>
            <a:rPr lang="en-US" sz="1100" b="1"/>
            <a:t>: Overtime workers leave at 3x the rate of non-overtime </a:t>
          </a:r>
        </a:p>
        <a:p>
          <a:pPr algn="ctr"/>
          <a:r>
            <a:rPr lang="en-US" sz="1100" b="1"/>
            <a:t>workers (30.5% vs 10.4%). Despite no meaningful difference in </a:t>
          </a:r>
        </a:p>
        <a:p>
          <a:pPr algn="ctr"/>
          <a:r>
            <a:rPr lang="en-US" sz="1100" b="1"/>
            <a:t>performance, overtime workers represent a significantly higher </a:t>
          </a:r>
        </a:p>
        <a:p>
          <a:pPr algn="ctr"/>
          <a:r>
            <a:rPr lang="en-US" sz="1100" b="1"/>
            <a:t>attrition risk — with an estimated $3.5M replacement cost impact.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171450</xdr:rowOff>
    </xdr:from>
    <xdr:ext cx="3922741" cy="95346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BB7264-D138-92E7-D9D3-E48A24938CD5}"/>
            </a:ext>
          </a:extLst>
        </xdr:cNvPr>
        <xdr:cNvSpPr txBox="1"/>
      </xdr:nvSpPr>
      <xdr:spPr>
        <a:xfrm>
          <a:off x="0" y="742950"/>
          <a:ext cx="3922741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Key Finding</a:t>
          </a:r>
          <a:r>
            <a:rPr lang="en-US" sz="1100" b="1"/>
            <a:t>: High performers receive larger salary hikes (21.85% </a:t>
          </a:r>
        </a:p>
        <a:p>
          <a:r>
            <a:rPr lang="en-US" sz="1100" b="1"/>
            <a:t>vs 14%) but still earn less per month ($6,314 vs $6,537) despite </a:t>
          </a:r>
        </a:p>
        <a:p>
          <a:r>
            <a:rPr lang="en-US" sz="1100" b="1"/>
            <a:t>identical tenure of 7 years. This points to a starting salary </a:t>
          </a:r>
        </a:p>
        <a:p>
          <a:r>
            <a:rPr lang="en-US" sz="1100" b="1"/>
            <a:t>problem — high performers are hired at lower base salaries that </a:t>
          </a:r>
        </a:p>
        <a:p>
          <a:r>
            <a:rPr lang="en-US" sz="1100" b="1"/>
            <a:t>raises alone cannot overcome.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3C4B-864D-423C-80CB-91FE861C99BA}">
  <dimension ref="A1:AI1471"/>
  <sheetViews>
    <sheetView topLeftCell="T1" workbookViewId="0">
      <selection activeCell="X2" sqref="X2"/>
    </sheetView>
  </sheetViews>
  <sheetFormatPr defaultRowHeight="15" x14ac:dyDescent="0.25"/>
  <cols>
    <col min="1" max="1" width="4.28515625" bestFit="1" customWidth="1"/>
    <col min="2" max="2" width="8.42578125" bestFit="1" customWidth="1"/>
    <col min="3" max="3" width="14.7109375" bestFit="1" customWidth="1"/>
    <col min="4" max="4" width="9.7109375" bestFit="1" customWidth="1"/>
    <col min="5" max="5" width="11.85546875" bestFit="1" customWidth="1"/>
    <col min="6" max="6" width="19.28515625" bestFit="1" customWidth="1"/>
    <col min="7" max="7" width="10" bestFit="1" customWidth="1"/>
    <col min="8" max="8" width="14.5703125" bestFit="1" customWidth="1"/>
    <col min="9" max="9" width="15.7109375" bestFit="1" customWidth="1"/>
    <col min="10" max="10" width="17.5703125" bestFit="1" customWidth="1"/>
    <col min="11" max="11" width="23.7109375" bestFit="1" customWidth="1"/>
    <col min="12" max="12" width="7.7109375" bestFit="1" customWidth="1"/>
    <col min="13" max="13" width="11.140625" bestFit="1" customWidth="1"/>
    <col min="14" max="14" width="15.42578125" bestFit="1" customWidth="1"/>
    <col min="15" max="15" width="8.85546875" bestFit="1" customWidth="1"/>
    <col min="16" max="16" width="8.140625" bestFit="1" customWidth="1"/>
    <col min="17" max="17" width="14.85546875" bestFit="1" customWidth="1"/>
    <col min="18" max="18" width="12.85546875" bestFit="1" customWidth="1"/>
    <col min="19" max="19" width="15.140625" bestFit="1" customWidth="1"/>
    <col min="20" max="20" width="12.42578125" bestFit="1" customWidth="1"/>
    <col min="21" max="21" width="23" bestFit="1" customWidth="1"/>
    <col min="22" max="22" width="7.28515625" bestFit="1" customWidth="1"/>
    <col min="23" max="23" width="9.7109375" bestFit="1" customWidth="1"/>
    <col min="24" max="24" width="17.85546875" bestFit="1" customWidth="1"/>
    <col min="25" max="25" width="18.5703125" bestFit="1" customWidth="1"/>
    <col min="26" max="26" width="23.5703125" bestFit="1" customWidth="1"/>
    <col min="27" max="27" width="14.5703125" bestFit="1" customWidth="1"/>
    <col min="28" max="28" width="17.28515625" bestFit="1" customWidth="1"/>
    <col min="29" max="29" width="18.140625" bestFit="1" customWidth="1"/>
    <col min="30" max="30" width="21.7109375" bestFit="1" customWidth="1"/>
    <col min="31" max="31" width="16.28515625" bestFit="1" customWidth="1"/>
    <col min="32" max="32" width="16.5703125" bestFit="1" customWidth="1"/>
    <col min="33" max="33" width="19.140625" bestFit="1" customWidth="1"/>
    <col min="34" max="34" width="24.5703125" bestFit="1" customWidth="1"/>
    <col min="35" max="35" width="22.28515625" bestFit="1" customWidth="1"/>
  </cols>
  <sheetData>
    <row r="1" spans="1:35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E8DA-FA81-4A43-99A3-78559A421890}">
  <dimension ref="A1:D4"/>
  <sheetViews>
    <sheetView workbookViewId="0">
      <selection activeCell="G10" sqref="G10"/>
    </sheetView>
  </sheetViews>
  <sheetFormatPr defaultRowHeight="15" x14ac:dyDescent="0.25"/>
  <cols>
    <col min="1" max="1" width="23.140625" bestFit="1" customWidth="1"/>
    <col min="2" max="2" width="15.42578125" bestFit="1" customWidth="1"/>
    <col min="3" max="3" width="15.28515625" bestFit="1" customWidth="1"/>
    <col min="4" max="4" width="21.42578125" bestFit="1" customWidth="1"/>
  </cols>
  <sheetData>
    <row r="1" spans="1:4" s="1" customFormat="1" x14ac:dyDescent="0.25">
      <c r="A1" s="5" t="s">
        <v>4</v>
      </c>
      <c r="B1" s="5" t="s">
        <v>62</v>
      </c>
      <c r="C1" s="5" t="s">
        <v>63</v>
      </c>
      <c r="D1" s="5" t="s">
        <v>64</v>
      </c>
    </row>
    <row r="2" spans="1:4" x14ac:dyDescent="0.25">
      <c r="A2" t="s">
        <v>45</v>
      </c>
      <c r="B2">
        <f>COUNTIF('Raw Data'!E:E,'Q1 - Performance'!A2)</f>
        <v>961</v>
      </c>
      <c r="C2">
        <f>COUNTIFS('Raw Data'!E:E,'Q1 - Performance'!A2,'Raw Data'!Y:Y,4)</f>
        <v>156</v>
      </c>
      <c r="D2" s="2">
        <f>C2/B2</f>
        <v>0.16233090530697192</v>
      </c>
    </row>
    <row r="3" spans="1:4" x14ac:dyDescent="0.25">
      <c r="A3" t="s">
        <v>37</v>
      </c>
      <c r="B3">
        <f>COUNTIF('Raw Data'!E:E,'Q1 - Performance'!A3)</f>
        <v>446</v>
      </c>
      <c r="C3">
        <f>COUNTIFS('Raw Data'!E:E,'Q1 - Performance'!A3,'Raw Data'!Y:Y,4)</f>
        <v>61</v>
      </c>
      <c r="D3" s="2">
        <f t="shared" ref="D3:D4" si="0">C3/B3</f>
        <v>0.1367713004484305</v>
      </c>
    </row>
    <row r="4" spans="1:4" x14ac:dyDescent="0.25">
      <c r="A4" t="s">
        <v>61</v>
      </c>
      <c r="B4">
        <f>COUNTIF('Raw Data'!E:E,'Q1 - Performance'!A4)</f>
        <v>63</v>
      </c>
      <c r="C4">
        <f>COUNTIFS('Raw Data'!E:E,'Q1 - Performance'!A4,'Raw Data'!Y:Y,4)</f>
        <v>9</v>
      </c>
      <c r="D4" s="2">
        <f t="shared" si="0"/>
        <v>0.14285714285714285</v>
      </c>
    </row>
  </sheetData>
  <conditionalFormatting sqref="D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F615-D505-43E6-9714-EB75C77F0EB2}">
  <dimension ref="A1:E3"/>
  <sheetViews>
    <sheetView workbookViewId="0">
      <selection sqref="A1:XFD1"/>
    </sheetView>
  </sheetViews>
  <sheetFormatPr defaultRowHeight="15" x14ac:dyDescent="0.25"/>
  <cols>
    <col min="1" max="1" width="15.7109375" bestFit="1" customWidth="1"/>
    <col min="2" max="2" width="15" bestFit="1" customWidth="1"/>
    <col min="3" max="3" width="15.140625" bestFit="1" customWidth="1"/>
    <col min="4" max="4" width="13.140625" bestFit="1" customWidth="1"/>
    <col min="5" max="5" width="19.28515625" bestFit="1" customWidth="1"/>
  </cols>
  <sheetData>
    <row r="1" spans="1:5" x14ac:dyDescent="0.2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</row>
    <row r="2" spans="1:5" x14ac:dyDescent="0.25">
      <c r="A2" t="s">
        <v>35</v>
      </c>
      <c r="B2">
        <f>COUNTIF('Raw Data'!W:W,A2)</f>
        <v>416</v>
      </c>
      <c r="C2">
        <f>COUNTIFS('Raw Data'!W:W, A2,'Raw Data'!B:B, "Yes")</f>
        <v>127</v>
      </c>
      <c r="D2" s="4">
        <f>C2/B2</f>
        <v>0.30528846153846156</v>
      </c>
      <c r="E2" s="3">
        <f>AVERAGEIF('Raw Data'!W:W, A2, 'Raw Data'!S:S)</f>
        <v>6548.5480769230771</v>
      </c>
    </row>
    <row r="3" spans="1:5" x14ac:dyDescent="0.25">
      <c r="A3" t="s">
        <v>43</v>
      </c>
      <c r="B3">
        <f>COUNTIF('Raw Data'!W:W,A3)</f>
        <v>1054</v>
      </c>
      <c r="C3">
        <f>COUNTIFS('Raw Data'!W:W, A3,'Raw Data'!B:B, "Yes")</f>
        <v>110</v>
      </c>
      <c r="D3" s="4">
        <f>C3/B3</f>
        <v>0.10436432637571158</v>
      </c>
      <c r="E3" s="3">
        <f>AVERAGEIF('Raw Data'!W:W, A3, 'Raw Data'!S:S)</f>
        <v>6484.9269449715366</v>
      </c>
    </row>
  </sheetData>
  <conditionalFormatting sqref="D2:D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F26D-3F28-41C4-B2B0-222D24869BFA}">
  <dimension ref="A1:E3"/>
  <sheetViews>
    <sheetView tabSelected="1" workbookViewId="0">
      <selection activeCell="E7" sqref="E7"/>
    </sheetView>
  </sheetViews>
  <sheetFormatPr defaultRowHeight="15" x14ac:dyDescent="0.25"/>
  <cols>
    <col min="1" max="1" width="18.5703125" bestFit="1" customWidth="1"/>
    <col min="2" max="2" width="15.42578125" bestFit="1" customWidth="1"/>
    <col min="3" max="3" width="18.7109375" bestFit="1" customWidth="1"/>
    <col min="4" max="4" width="14.7109375" bestFit="1" customWidth="1"/>
    <col min="5" max="5" width="10.85546875" bestFit="1" customWidth="1"/>
  </cols>
  <sheetData>
    <row r="1" spans="1:5" x14ac:dyDescent="0.25">
      <c r="A1" s="5" t="s">
        <v>70</v>
      </c>
      <c r="B1" s="5" t="s">
        <v>62</v>
      </c>
      <c r="C1" s="5" t="s">
        <v>69</v>
      </c>
      <c r="D1" s="5" t="s">
        <v>71</v>
      </c>
      <c r="E1" s="5" t="s">
        <v>72</v>
      </c>
    </row>
    <row r="2" spans="1:5" x14ac:dyDescent="0.25">
      <c r="A2">
        <v>4</v>
      </c>
      <c r="B2">
        <f>COUNTIF('Raw Data'!Y:Y, A2)</f>
        <v>226</v>
      </c>
      <c r="C2" s="3">
        <f>AVERAGEIF('Raw Data'!Y:Y, A2, 'Raw Data'!S:S)</f>
        <v>6313.8938053097345</v>
      </c>
      <c r="D2" s="7">
        <f>AVERAGEIF('Raw Data'!Y:Y, A2, 'Raw Data'!X:X)/100</f>
        <v>0.21849557522123894</v>
      </c>
      <c r="E2" s="3">
        <f>AVERAGEIF('Raw Data'!Y:Y, A2, 'Raw Data'!AF:AF)</f>
        <v>7.0575221238938051</v>
      </c>
    </row>
    <row r="3" spans="1:5" x14ac:dyDescent="0.25">
      <c r="A3">
        <v>3</v>
      </c>
      <c r="B3">
        <f>COUNTIF('Raw Data'!Y:Y, A3)</f>
        <v>1244</v>
      </c>
      <c r="C3" s="3">
        <f>AVERAGEIF('Raw Data'!Y:Y, A3, 'Raw Data'!S:S)</f>
        <v>6537.2741157556275</v>
      </c>
      <c r="D3" s="7">
        <f>AVERAGEIF('Raw Data'!Y:Y, A3, 'Raw Data'!X:X)/100</f>
        <v>0.14003215434083602</v>
      </c>
      <c r="E3" s="3">
        <f>AVERAGEIF('Raw Data'!Y:Y, A3, 'Raw Data'!AF:AF)</f>
        <v>6.9991961414791</v>
      </c>
    </row>
  </sheetData>
  <conditionalFormatting sqref="C2:C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Q1 - Performance</vt:lpstr>
      <vt:lpstr>Q2 - Overtime</vt:lpstr>
      <vt:lpstr>Q3 -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Manzoor</dc:creator>
  <cp:lastModifiedBy>Sajid Manzoor</cp:lastModifiedBy>
  <dcterms:created xsi:type="dcterms:W3CDTF">2026-06-26T09:15:43Z</dcterms:created>
  <dcterms:modified xsi:type="dcterms:W3CDTF">2026-06-26T11:05:05Z</dcterms:modified>
</cp:coreProperties>
</file>